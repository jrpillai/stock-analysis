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ayan\Desktop\Classwork\Module_2\Challenge 2\stock-analysis\"/>
    </mc:Choice>
  </mc:AlternateContent>
  <xr:revisionPtr revIDLastSave="0" documentId="13_ncr:1_{0D1CCCD8-E93C-429A-8CFF-FE98D85F8916}" xr6:coauthVersionLast="47" xr6:coauthVersionMax="47" xr10:uidLastSave="{00000000-0000-0000-0000-000000000000}"/>
  <bookViews>
    <workbookView xWindow="28680" yWindow="-120" windowWidth="29040" windowHeight="15720" firstSheet="2" activeTab="4" xr2:uid="{00000000-000D-0000-FFFF-FFFF00000000}"/>
  </bookViews>
  <sheets>
    <sheet name="2017" sheetId="1" r:id="rId1"/>
    <sheet name="2018" sheetId="2" r:id="rId2"/>
    <sheet name="AllStocksAnalysis" sheetId="6" r:id="rId3"/>
    <sheet name="AllStocksAnalysisOriginal" sheetId="10" r:id="rId4"/>
    <sheet name="Comparisons for Report" sheetId="11" r:id="rId5"/>
    <sheet name="DQ Analysis" sheetId="3" r:id="rId6"/>
    <sheet name="DQAnalysis Range Only" sheetId="4" r:id="rId7"/>
    <sheet name="DQAnalysis Cells Only" sheetId="5" r:id="rId8"/>
    <sheet name="NestedForLoopSkillDrill" sheetId="7" r:id="rId9"/>
    <sheet name="TestArrays" sheetId="9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1" l="1"/>
  <c r="B4" i="11"/>
  <c r="C19" i="11"/>
  <c r="B19" i="11"/>
  <c r="C3" i="11"/>
</calcChain>
</file>

<file path=xl/sharedStrings.xml><?xml version="1.0" encoding="utf-8"?>
<sst xmlns="http://schemas.openxmlformats.org/spreadsheetml/2006/main" count="12139" uniqueCount="536">
  <si>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</si>
  <si>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</si>
  <si>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</si>
  <si>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</si>
  <si>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</si>
  <si>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</si>
  <si>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</si>
  <si>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</si>
  <si>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</si>
  <si>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</si>
  <si>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</si>
  <si>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</si>
  <si>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</si>
  <si>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</si>
  <si>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</si>
  <si>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</si>
  <si>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</si>
  <si>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</si>
  <si>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</si>
  <si>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</si>
  <si>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</si>
  <si>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</si>
  <si>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</si>
  <si>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</si>
  <si>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</si>
  <si>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</si>
  <si>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</si>
  <si>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</si>
  <si>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</si>
  <si>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</si>
  <si>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</si>
  <si>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</si>
  <si>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</si>
  <si>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</si>
  <si>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</si>
  <si>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</si>
  <si>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</si>
  <si>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</si>
  <si>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</si>
  <si>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</si>
  <si>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</si>
  <si>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</si>
  <si>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</si>
  <si>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</si>
  <si>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</si>
  <si>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</si>
  <si>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</si>
  <si>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</si>
  <si>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</si>
  <si>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</si>
  <si>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</si>
  <si>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</si>
  <si>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</si>
  <si>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</si>
  <si>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</si>
  <si>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</si>
  <si>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</si>
  <si>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</si>
  <si>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</si>
  <si>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</si>
  <si>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</si>
  <si>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</si>
  <si>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</si>
  <si>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</si>
  <si>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</si>
  <si>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</si>
  <si>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</si>
  <si>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</si>
  <si>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</si>
  <si>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</si>
  <si>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</si>
  <si>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</si>
  <si>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</si>
  <si>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</si>
  <si>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</si>
  <si>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</si>
  <si>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</si>
  <si>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</si>
  <si>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</si>
  <si>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</si>
  <si>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</si>
  <si>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</si>
  <si>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</si>
  <si>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</si>
  <si>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</si>
  <si>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</si>
  <si>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</si>
  <si>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</si>
  <si>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</si>
  <si>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</si>
  <si>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</si>
  <si>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</si>
  <si>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</si>
  <si>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</si>
  <si>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</si>
  <si>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</si>
  <si>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</si>
  <si>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</si>
  <si>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</si>
  <si>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</si>
  <si>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</si>
  <si>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</si>
  <si>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</si>
  <si>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</si>
  <si>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</si>
  <si>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</si>
  <si>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</si>
  <si>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</si>
  <si>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</si>
  <si>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</si>
  <si>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</si>
  <si>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</si>
  <si>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</si>
  <si>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</si>
  <si>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</si>
  <si>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</si>
  <si>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</si>
  <si>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</si>
  <si>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</si>
  <si>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</si>
  <si>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</si>
  <si>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</si>
  <si>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</si>
  <si>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</si>
  <si>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</si>
  <si>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</si>
  <si>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</si>
  <si>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</si>
  <si>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</si>
  <si>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</si>
  <si>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</si>
  <si>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</si>
  <si>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</si>
  <si>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</si>
  <si>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</si>
  <si>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</si>
  <si>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</si>
  <si>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</si>
  <si>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</si>
  <si>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</si>
  <si>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</si>
  <si>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</si>
  <si>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</si>
  <si>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</si>
  <si>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</si>
  <si>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</si>
  <si>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</si>
  <si>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</si>
  <si>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</si>
  <si>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</si>
  <si>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</si>
  <si>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</si>
  <si>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</si>
  <si>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</si>
  <si>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</si>
  <si>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</si>
  <si>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</si>
  <si>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</si>
  <si>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</si>
  <si>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</si>
  <si>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</si>
  <si>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</si>
  <si>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</si>
  <si>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</si>
  <si>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</si>
  <si>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</si>
  <si>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</si>
  <si>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</si>
  <si>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</si>
  <si>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</si>
  <si>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</si>
  <si>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</si>
  <si>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</si>
  <si>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</si>
  <si>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</si>
  <si>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</si>
  <si>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</si>
  <si>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</si>
  <si>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</si>
  <si>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</si>
  <si>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</si>
  <si>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</si>
  <si>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</si>
  <si>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</si>
  <si>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</si>
  <si>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</si>
  <si>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</si>
  <si>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</si>
  <si>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</si>
  <si>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</si>
  <si>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</si>
  <si>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</si>
  <si>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</si>
  <si>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</si>
  <si>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</si>
  <si>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</si>
  <si>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</si>
  <si>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</si>
  <si>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</si>
  <si>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</si>
  <si>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</si>
  <si>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</si>
  <si>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</si>
  <si>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</si>
  <si>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</si>
  <si>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</si>
  <si>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</si>
  <si>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</si>
  <si>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</si>
  <si>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</si>
  <si>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</si>
  <si>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</si>
  <si>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</si>
  <si>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</si>
  <si>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</si>
  <si>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</si>
  <si>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</si>
  <si>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</si>
  <si>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</si>
  <si>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</si>
  <si>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</si>
  <si>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</si>
  <si>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</si>
  <si>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</si>
  <si>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</si>
  <si>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</si>
  <si>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</si>
  <si>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</si>
  <si>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</si>
  <si>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</si>
  <si>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</si>
  <si>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</si>
  <si>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</si>
  <si>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</si>
  <si>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</si>
  <si>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</si>
  <si>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</si>
  <si>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</si>
  <si>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</si>
  <si>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</si>
  <si>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</si>
  <si>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</si>
  <si>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</si>
  <si>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</si>
  <si>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</si>
  <si>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</si>
  <si>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</si>
  <si>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</si>
  <si>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</si>
  <si>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</si>
  <si>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</si>
  <si>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</si>
  <si>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</si>
  <si>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</si>
  <si>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</si>
  <si>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</si>
  <si>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</si>
  <si>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</si>
  <si>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</si>
  <si>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</si>
  <si>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</si>
  <si>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</si>
  <si>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</si>
  <si>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</si>
  <si>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</si>
  <si>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</si>
  <si>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</si>
  <si>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</si>
  <si>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</si>
  <si>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</si>
  <si>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</si>
  <si>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</si>
  <si>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</si>
  <si>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</si>
  <si>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</si>
  <si>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</si>
  <si>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</si>
  <si>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</si>
  <si>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</si>
  <si>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</si>
  <si>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</si>
  <si>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</si>
  <si>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</si>
  <si>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</si>
  <si>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</si>
  <si>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</si>
  <si>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</si>
  <si>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</si>
  <si>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</si>
  <si>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</si>
  <si>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</si>
  <si>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</si>
  <si>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</si>
  <si>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</si>
  <si>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</si>
  <si>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</si>
  <si>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</si>
  <si>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</si>
  <si>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</si>
  <si>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</si>
  <si>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</si>
  <si>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</si>
  <si>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</si>
  <si>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</si>
  <si>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</si>
  <si>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</si>
  <si>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</si>
  <si>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</si>
  <si>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</si>
  <si>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</si>
  <si>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</si>
  <si>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</si>
  <si>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</si>
  <si>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</si>
  <si>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</si>
  <si>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</si>
  <si>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</si>
  <si>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</si>
  <si>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</si>
  <si>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</si>
  <si>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</si>
  <si>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</si>
  <si>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</si>
  <si>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</si>
  <si>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</si>
  <si>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</si>
  <si>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</si>
  <si>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</si>
  <si>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</si>
  <si>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</si>
  <si>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</si>
  <si>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</si>
  <si>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</si>
  <si>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</si>
  <si>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</si>
  <si>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</si>
  <si>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</si>
  <si>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</si>
  <si>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</si>
  <si>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</si>
  <si>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</si>
  <si>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</si>
  <si>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</si>
  <si>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</si>
  <si>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</si>
  <si>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</si>
  <si>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</si>
  <si>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</si>
  <si>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</si>
  <si>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</si>
  <si>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</si>
  <si>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</si>
  <si>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</si>
  <si>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</si>
  <si>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</si>
  <si>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</si>
  <si>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</si>
  <si>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</si>
  <si>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</si>
  <si>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</si>
  <si>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</si>
  <si>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</si>
  <si>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</si>
  <si>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</si>
  <si>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</si>
  <si>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</si>
  <si>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</si>
  <si>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</si>
  <si>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</si>
  <si>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</si>
  <si>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</si>
  <si>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</si>
  <si>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</si>
  <si>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</si>
  <si>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</si>
  <si>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</si>
  <si>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</si>
  <si>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</si>
  <si>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</si>
  <si>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</si>
  <si>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</si>
  <si>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</si>
  <si>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</si>
  <si>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</si>
  <si>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</si>
  <si>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</si>
  <si>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</si>
  <si>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</si>
  <si>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</si>
  <si>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</si>
  <si>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</si>
  <si>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</si>
  <si>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</si>
  <si>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</si>
  <si>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</si>
  <si>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</si>
  <si>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</si>
  <si>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</si>
  <si>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</si>
  <si>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</si>
  <si>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</si>
  <si>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</si>
  <si>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</si>
  <si>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</si>
  <si>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</si>
  <si>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</si>
  <si>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</si>
  <si>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</si>
  <si>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</si>
  <si>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</si>
  <si>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</si>
  <si>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</si>
  <si>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</si>
  <si>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</si>
  <si>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</si>
  <si>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</si>
  <si>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</si>
  <si>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</si>
  <si>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</si>
  <si>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</si>
  <si>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</si>
  <si>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</si>
  <si>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</si>
  <si>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</si>
  <si>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</si>
  <si>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</si>
  <si>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</si>
  <si>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</si>
  <si>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</si>
  <si>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</si>
  <si>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</si>
  <si>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</si>
  <si>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</si>
  <si>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</si>
  <si>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</si>
  <si>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</si>
  <si>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</si>
  <si>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</si>
  <si>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</si>
  <si>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</si>
  <si>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</si>
  <si>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</si>
  <si>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</si>
  <si>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</si>
  <si>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</si>
  <si>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</si>
  <si>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</si>
  <si>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</si>
  <si>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</si>
  <si>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</si>
  <si>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</si>
  <si>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</si>
  <si>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</si>
  <si>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</si>
  <si>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</si>
  <si>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</si>
  <si>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</si>
  <si>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</si>
  <si>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</si>
  <si>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</si>
  <si>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</si>
  <si>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</si>
  <si>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</si>
  <si>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</si>
  <si>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</si>
  <si>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</si>
  <si>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</si>
  <si>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</si>
  <si>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</si>
  <si>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</si>
  <si>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</si>
  <si>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</si>
  <si>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</si>
  <si>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</si>
  <si>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</si>
  <si>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</si>
  <si>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</si>
  <si>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</si>
  <si>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</si>
  <si>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</si>
  <si>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</si>
  <si>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</si>
  <si>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</si>
  <si>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</si>
  <si>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</si>
  <si>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</si>
  <si>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</si>
  <si>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</si>
  <si>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</si>
  <si>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</si>
  <si>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</si>
  <si>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</si>
  <si>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</si>
  <si>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</si>
  <si>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</si>
  <si>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</si>
  <si>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</si>
  <si>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</si>
  <si>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</si>
  <si>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</si>
  <si>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</si>
  <si>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</si>
  <si>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</si>
  <si>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</si>
  <si>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</si>
  <si>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</si>
  <si>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</si>
  <si>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</si>
  <si>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</si>
  <si>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</si>
  <si>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</si>
  <si>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</si>
  <si>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</si>
  <si>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</si>
  <si>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</si>
  <si>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</si>
  <si>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</si>
  <si>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</si>
  <si>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</si>
  <si>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</si>
  <si>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</si>
  <si>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</si>
  <si>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</si>
  <si>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</si>
  <si>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</si>
  <si>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</si>
  <si>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</si>
  <si>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(2017)</t>
  </si>
  <si>
    <t>2018 Return</t>
  </si>
  <si>
    <t>2017 Return</t>
  </si>
  <si>
    <t>2018 Total Daily Volume</t>
  </si>
  <si>
    <t>2017 Total Daily Volume</t>
  </si>
  <si>
    <t>Total</t>
  </si>
  <si>
    <t>Speed difference</t>
  </si>
  <si>
    <t>Refactored Code (seconds)</t>
  </si>
  <si>
    <t>Original Code (seconds)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</si>
</sst>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6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3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164" fontId="0" fillId="3" borderId="0" xfId="0" applyNumberFormat="1" applyFill="1" applyAlignment="1">
      <alignment horizontal="center"/>
    </xf>
    <xf numFmtId="3" fontId="1" fillId="0" borderId="0" xfId="0" applyNumberFormat="1" applyFont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Annual Return for Renewable</a:t>
            </a:r>
            <a:r>
              <a:rPr lang="en-US" baseline="0"/>
              <a:t> Energy Stocks (2017 and 2018)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063670138574898E-2"/>
          <c:y val="0.12463928287904862"/>
          <c:w val="0.89019182945338493"/>
          <c:h val="0.73483180426598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'Comparisons for Report'!$B$21</c:f>
              <c:strCache>
                <c:ptCount val="1"/>
                <c:pt idx="0">
                  <c:v>2017 Return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'Comparisons for Report'!$A$22:$A$33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'Comparisons for Report'!$B$22:$B$33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84-4E74-8E7F-0FC14720E7DA}"/>
            </c:ext>
          </c:extLst>
        </c:ser>
        <c:ser>
          <c:idx val="1"/>
          <c:order val="1"/>
          <c:tx>
            <c:strRef>
              <c:f>'Comparisons for Report'!$C$21</c:f>
              <c:strCache>
                <c:ptCount val="1"/>
                <c:pt idx="0">
                  <c:v>2018 Return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'Comparisons for Report'!$A$22:$A$33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'Comparisons for Report'!$C$22:$C$33</c:f>
              <c:numCache>
                <c:formatCode>0.0%</c:formatCode>
                <c:ptCount val="12"/>
                <c:pt idx="0">
                  <c:v>-7.2847638261477596E-2</c:v>
                </c:pt>
                <c:pt idx="1">
                  <c:v>-0.16336051128124335</c:v>
                </c:pt>
                <c:pt idx="2">
                  <c:v>-0.62601885887805664</c:v>
                </c:pt>
                <c:pt idx="3">
                  <c:v>0.81923076923076932</c:v>
                </c:pt>
                <c:pt idx="4">
                  <c:v>-0.39713191821666904</c:v>
                </c:pt>
                <c:pt idx="5">
                  <c:v>-0.2065806330695544</c:v>
                </c:pt>
                <c:pt idx="6">
                  <c:v>-0.60534715105136272</c:v>
                </c:pt>
                <c:pt idx="7">
                  <c:v>0.8395270270270272</c:v>
                </c:pt>
                <c:pt idx="8">
                  <c:v>-7.7529594678832983E-2</c:v>
                </c:pt>
                <c:pt idx="9">
                  <c:v>-0.44593088071348946</c:v>
                </c:pt>
                <c:pt idx="10">
                  <c:v>-4.9957662997459767E-2</c:v>
                </c:pt>
                <c:pt idx="11">
                  <c:v>-3.5443037974683574E-2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84-4E74-8E7F-0FC14720E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9503536"/>
        <c:axId val="1729506448"/>
      </c:barChart>
      <c:catAx>
        <c:axId val="172950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506448"/>
        <c:crosses val="autoZero"/>
        <c:auto val="1"/>
        <c:lblAlgn val="ctr"/>
        <c:lblOffset val="100"/>
        <c:noMultiLvlLbl val="0"/>
      </c:catAx>
      <c:valAx>
        <c:axId val="1729506448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tx1">
                  <a:alpha val="82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503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 for Renewable Energy</a:t>
            </a:r>
            <a:r>
              <a:rPr lang="en-US" baseline="0"/>
              <a:t> Stocks (2017 and 2018)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70100868374294E-2"/>
          <c:y val="0.14748972150293294"/>
          <c:w val="0.89660806296885531"/>
          <c:h val="0.687355692380557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'Comparisons for Report'!$B$6</c:f>
              <c:strCache>
                <c:ptCount val="1"/>
                <c:pt idx="0">
                  <c:v>2017 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'Comparisons for Report'!$A$7:$A$18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'Comparisons for Report'!$B$7:$B$18</c:f>
              <c:numCache>
                <c:formatCode>#,##0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29-4E7F-93A1-31987FAF85D0}"/>
            </c:ext>
          </c:extLst>
        </c:ser>
        <c:ser>
          <c:idx val="1"/>
          <c:order val="1"/>
          <c:tx>
            <c:strRef>
              <c:f>'Comparisons for Report'!$C$6</c:f>
              <c:strCache>
                <c:ptCount val="1"/>
                <c:pt idx="0">
                  <c:v>2018 Total Daily Volume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'Comparisons for Report'!$A$7:$A$18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'Comparisons for Report'!$C$7:$C$18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29-4E7F-93A1-31987FAF8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5635968"/>
        <c:axId val="1325626400"/>
      </c:barChart>
      <c:catAx>
        <c:axId val="132563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26400"/>
        <c:crosses val="autoZero"/>
        <c:auto val="1"/>
        <c:lblAlgn val="ctr"/>
        <c:lblOffset val="100"/>
        <c:noMultiLvlLbl val="0"/>
      </c:catAx>
      <c:valAx>
        <c:axId val="132562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563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146050</xdr:colOff>
          <xdr:row>4</xdr:row>
          <xdr:rowOff>19050</xdr:rowOff>
        </xdr:from>
        <xdr:to>
          <xdr:col>10</xdr:col>
          <xdr:colOff>203200</xdr:colOff>
          <xdr:row>7</xdr:row>
          <xdr:rowOff>69850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9</xdr:row>
          <xdr:rowOff>38100</xdr:rowOff>
        </xdr:from>
        <xdr:to>
          <xdr:col>10</xdr:col>
          <xdr:colOff>209550</xdr:colOff>
          <xdr:row>12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146050</xdr:colOff>
          <xdr:row>4</xdr:row>
          <xdr:rowOff>19050</xdr:rowOff>
        </xdr:from>
        <xdr:to>
          <xdr:col>10</xdr:col>
          <xdr:colOff>203200</xdr:colOff>
          <xdr:row>7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9</xdr:row>
          <xdr:rowOff>38100</xdr:rowOff>
        </xdr:from>
        <xdr:to>
          <xdr:col>10</xdr:col>
          <xdr:colOff>209550</xdr:colOff>
          <xdr:row>12</xdr:row>
          <xdr:rowOff>88900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201612</xdr:colOff>
      <xdr:row>27</xdr:row>
      <xdr:rowOff>87313</xdr:rowOff>
    </xdr:from>
    <xdr:to>
      <xdr:col>18</xdr:col>
      <xdr:colOff>320675</xdr:colOff>
      <xdr:row>48</xdr:row>
      <xdr:rowOff>19051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F091926-FD96-48C8-949C-889573481D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344487</xdr:colOff>
      <xdr:row>0</xdr:row>
      <xdr:rowOff>0</xdr:rowOff>
    </xdr:from>
    <xdr:to>
      <xdr:col>18</xdr:col>
      <xdr:colOff>581025</xdr:colOff>
      <xdr:row>26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1B04067-8BBF-46F8-A461-466DCC72FB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</xdr:colOff>
          <xdr:row>2</xdr:row>
          <xdr:rowOff>171450</xdr:rowOff>
        </xdr:from>
        <xdr:to>
          <xdr:col>8</xdr:col>
          <xdr:colOff>495300</xdr:colOff>
          <xdr:row>6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69850</xdr:colOff>
          <xdr:row>9</xdr:row>
          <xdr:rowOff>12700</xdr:rowOff>
        </xdr:from>
        <xdr:to>
          <xdr:col>8</xdr:col>
          <xdr:colOff>495300</xdr:colOff>
          <xdr:row>12</xdr:row>
          <xdr:rowOff>146050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 DQ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-0.249977111117893"/>
  </sheetPr>
  <dimension ref="A1:H3013"/>
  <sheetViews>
    <sheetView workbookViewId="0">
      <selection activeCell="M256" sqref="M256"/>
    </sheetView>
  </sheetViews>
  <sheetFormatPr defaultColWidth="8.81640625" defaultRowHeight="14.5" x14ac:dyDescent="0.35"/>
  <cols>
    <col min="2" max="2" width="10.0898437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249977111117893"/>
  </sheetPr>
  <dimension ref="A1:H3013"/>
  <sheetViews>
    <sheetView workbookViewId="0">
      <selection activeCell="A19" sqref="A19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7082C-ABD6-4D6D-A877-748B64AACE40}">
  <sheetPr codeName="Sheet6">
    <tabColor theme="4" tint="-0.249977111117893"/>
  </sheetPr>
  <dimension ref="A1:C15"/>
  <sheetViews>
    <sheetView workbookViewId="0">
      <selection activeCell="C15" sqref="A3:C15"/>
    </sheetView>
  </sheetViews>
  <sheetFormatPr defaultRowHeight="14.5" x14ac:dyDescent="0.35"/>
  <cols>
    <col min="2" max="2" width="17.1796875" bestFit="1" customWidth="1"/>
  </cols>
  <sheetData>
    <row r="1" spans="1:3" x14ac:dyDescent="0.35">
      <c r="A1" t="s">
        <v>527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t="s">
        <v>8</v>
      </c>
      <c r="B4" s="3">
        <v>136070900</v>
      </c>
      <c r="C4" s="5">
        <v>8.9368253946304321E-2</v>
      </c>
    </row>
    <row r="5" spans="1:3" x14ac:dyDescent="0.35">
      <c r="A5" t="s">
        <v>9</v>
      </c>
      <c r="B5" s="3">
        <v>310592800</v>
      </c>
      <c r="C5" s="5">
        <v>0.33070248365402222</v>
      </c>
    </row>
    <row r="6" spans="1:3" x14ac:dyDescent="0.35">
      <c r="A6" t="s">
        <v>10</v>
      </c>
      <c r="B6" s="3">
        <v>35796200</v>
      </c>
      <c r="C6" s="5">
        <v>1.9944583177566528</v>
      </c>
    </row>
    <row r="7" spans="1:3" x14ac:dyDescent="0.35">
      <c r="A7" t="s">
        <v>11</v>
      </c>
      <c r="B7" s="3">
        <v>221772100</v>
      </c>
      <c r="C7" s="5">
        <v>1.2952382564544678</v>
      </c>
    </row>
    <row r="8" spans="1:3" x14ac:dyDescent="0.35">
      <c r="A8" t="s">
        <v>12</v>
      </c>
      <c r="B8" s="3">
        <v>684181400</v>
      </c>
      <c r="C8" s="5">
        <v>1.0131185054779053</v>
      </c>
    </row>
    <row r="9" spans="1:3" x14ac:dyDescent="0.35">
      <c r="A9" t="s">
        <v>13</v>
      </c>
      <c r="B9" s="3">
        <v>80949300</v>
      </c>
      <c r="C9" s="5">
        <v>0.2583681046962738</v>
      </c>
    </row>
    <row r="10" spans="1:3" x14ac:dyDescent="0.35">
      <c r="A10" t="s">
        <v>14</v>
      </c>
      <c r="B10" s="3">
        <v>191632200</v>
      </c>
      <c r="C10" s="5">
        <v>0.53870755434036255</v>
      </c>
    </row>
    <row r="11" spans="1:3" x14ac:dyDescent="0.35">
      <c r="A11" t="s">
        <v>15</v>
      </c>
      <c r="B11" s="3">
        <v>267681300</v>
      </c>
      <c r="C11" s="5">
        <v>5.5456161499023438E-2</v>
      </c>
    </row>
    <row r="12" spans="1:3" x14ac:dyDescent="0.35">
      <c r="A12" t="s">
        <v>16</v>
      </c>
      <c r="B12" s="3">
        <v>206885200</v>
      </c>
      <c r="C12" s="5">
        <v>1.8446969985961914</v>
      </c>
    </row>
    <row r="13" spans="1:3" x14ac:dyDescent="0.35">
      <c r="A13" t="s">
        <v>17</v>
      </c>
      <c r="B13" s="3">
        <v>782187000</v>
      </c>
      <c r="C13" s="5">
        <v>0.23065699636936188</v>
      </c>
    </row>
    <row r="14" spans="1:3" x14ac:dyDescent="0.35">
      <c r="A14" t="s">
        <v>18</v>
      </c>
      <c r="B14" s="3">
        <v>139402800</v>
      </c>
      <c r="C14" s="4">
        <v>-7.2148971259593964E-2</v>
      </c>
    </row>
    <row r="15" spans="1:3" x14ac:dyDescent="0.35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146050</xdr:colOff>
                    <xdr:row>4</xdr:row>
                    <xdr:rowOff>19050</xdr:rowOff>
                  </from>
                  <to>
                    <xdr:col>10</xdr:col>
                    <xdr:colOff>203200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152400</xdr:colOff>
                    <xdr:row>9</xdr:row>
                    <xdr:rowOff>38100</xdr:rowOff>
                  </from>
                  <to>
                    <xdr:col>10</xdr:col>
                    <xdr:colOff>209550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F8BD0-5DA5-4E10-9896-157C6B0EB45E}">
  <sheetPr codeName="Sheet10">
    <tabColor theme="9" tint="-0.249977111117893"/>
  </sheetPr>
  <dimension ref="A1:C15"/>
  <sheetViews>
    <sheetView workbookViewId="0">
      <selection activeCell="H32" sqref="H32"/>
    </sheetView>
  </sheetViews>
  <sheetFormatPr defaultRowHeight="14.5" x14ac:dyDescent="0.35"/>
  <cols>
    <col min="2" max="2" width="17.1796875" bestFit="1" customWidth="1"/>
  </cols>
  <sheetData>
    <row r="1" spans="1:3" x14ac:dyDescent="0.35">
      <c r="A1" t="s">
        <v>526</v>
      </c>
    </row>
    <row r="3" spans="1:3" x14ac:dyDescent="0.35">
      <c r="A3" s="2" t="s">
        <v>0</v>
      </c>
      <c r="B3" s="2" t="s">
        <v>524</v>
      </c>
      <c r="C3" s="2" t="s">
        <v>525</v>
      </c>
    </row>
    <row r="4" spans="1:3" x14ac:dyDescent="0.35">
      <c r="A4" t="s">
        <v>8</v>
      </c>
      <c r="B4" s="3">
        <v>83079900</v>
      </c>
      <c r="C4" s="4">
        <v>-7.2847638261477596E-2</v>
      </c>
    </row>
    <row r="5" spans="1:3" x14ac:dyDescent="0.35">
      <c r="A5" t="s">
        <v>9</v>
      </c>
      <c r="B5" s="3">
        <v>200879900</v>
      </c>
      <c r="C5" s="4">
        <v>-0.16336051128124335</v>
      </c>
    </row>
    <row r="6" spans="1:3" x14ac:dyDescent="0.35">
      <c r="A6" t="s">
        <v>10</v>
      </c>
      <c r="B6" s="3">
        <v>107873900</v>
      </c>
      <c r="C6" s="4">
        <v>-0.62601885887805664</v>
      </c>
    </row>
    <row r="7" spans="1:3" x14ac:dyDescent="0.35">
      <c r="A7" t="s">
        <v>11</v>
      </c>
      <c r="B7" s="3">
        <v>607473500</v>
      </c>
      <c r="C7" s="5">
        <v>0.81923076923076932</v>
      </c>
    </row>
    <row r="8" spans="1:3" x14ac:dyDescent="0.35">
      <c r="A8" t="s">
        <v>12</v>
      </c>
      <c r="B8" s="3">
        <v>478113900</v>
      </c>
      <c r="C8" s="4">
        <v>-0.39713191821666904</v>
      </c>
    </row>
    <row r="9" spans="1:3" x14ac:dyDescent="0.35">
      <c r="A9" t="s">
        <v>13</v>
      </c>
      <c r="B9" s="3">
        <v>104340600</v>
      </c>
      <c r="C9" s="4">
        <v>-0.2065806330695544</v>
      </c>
    </row>
    <row r="10" spans="1:3" x14ac:dyDescent="0.35">
      <c r="A10" t="s">
        <v>14</v>
      </c>
      <c r="B10" s="3">
        <v>158309000</v>
      </c>
      <c r="C10" s="4">
        <v>-0.60534715105136272</v>
      </c>
    </row>
    <row r="11" spans="1:3" x14ac:dyDescent="0.35">
      <c r="A11" t="s">
        <v>15</v>
      </c>
      <c r="B11" s="3">
        <v>502757100</v>
      </c>
      <c r="C11" s="5">
        <v>0.8395270270270272</v>
      </c>
    </row>
    <row r="12" spans="1:3" x14ac:dyDescent="0.35">
      <c r="A12" t="s">
        <v>16</v>
      </c>
      <c r="B12" s="3">
        <v>237212300</v>
      </c>
      <c r="C12" s="4">
        <v>-7.7529594678832983E-2</v>
      </c>
    </row>
    <row r="13" spans="1:3" x14ac:dyDescent="0.35">
      <c r="A13" t="s">
        <v>17</v>
      </c>
      <c r="B13" s="3">
        <v>538024300</v>
      </c>
      <c r="C13" s="4">
        <v>-0.44593088071348946</v>
      </c>
    </row>
    <row r="14" spans="1:3" x14ac:dyDescent="0.35">
      <c r="A14" t="s">
        <v>18</v>
      </c>
      <c r="B14" s="3">
        <v>151434700</v>
      </c>
      <c r="C14" s="4">
        <v>-4.9957662997459767E-2</v>
      </c>
    </row>
    <row r="15" spans="1:3" x14ac:dyDescent="0.35">
      <c r="A15" t="s">
        <v>19</v>
      </c>
      <c r="B15" s="3">
        <v>136539100</v>
      </c>
      <c r="C15" s="4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146050</xdr:colOff>
                    <xdr:row>4</xdr:row>
                    <xdr:rowOff>19050</xdr:rowOff>
                  </from>
                  <to>
                    <xdr:col>10</xdr:col>
                    <xdr:colOff>203200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152400</xdr:colOff>
                    <xdr:row>9</xdr:row>
                    <xdr:rowOff>38100</xdr:rowOff>
                  </from>
                  <to>
                    <xdr:col>10</xdr:col>
                    <xdr:colOff>209550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6C4CC-A075-4136-A28F-6C6E38788BA4}">
  <sheetPr codeName="Sheet8"/>
  <dimension ref="A1:C33"/>
  <sheetViews>
    <sheetView tabSelected="1" workbookViewId="0">
      <selection activeCell="A2" sqref="A2:C4"/>
    </sheetView>
  </sheetViews>
  <sheetFormatPr defaultRowHeight="14.5" x14ac:dyDescent="0.35"/>
  <cols>
    <col min="1" max="1" width="16.36328125" customWidth="1"/>
    <col min="2" max="2" width="27" customWidth="1"/>
    <col min="3" max="3" width="22" customWidth="1"/>
  </cols>
  <sheetData>
    <row r="1" spans="1:3" x14ac:dyDescent="0.35">
      <c r="A1" s="6"/>
      <c r="B1" s="13">
        <v>2017</v>
      </c>
      <c r="C1" s="13">
        <v>2018</v>
      </c>
    </row>
    <row r="2" spans="1:3" ht="29" x14ac:dyDescent="0.35">
      <c r="A2" s="17" t="s">
        <v>534</v>
      </c>
      <c r="B2" s="14">
        <v>6.25E-2</v>
      </c>
      <c r="C2" s="14">
        <v>6.25E-2</v>
      </c>
    </row>
    <row r="3" spans="1:3" ht="29" x14ac:dyDescent="0.35">
      <c r="A3" s="17" t="s">
        <v>535</v>
      </c>
      <c r="B3" s="14">
        <v>0.66800000000000004</v>
      </c>
      <c r="C3" s="14">
        <f>ROUND(0.6914063,4)</f>
        <v>0.69140000000000001</v>
      </c>
    </row>
    <row r="4" spans="1:3" ht="20" customHeight="1" x14ac:dyDescent="0.35">
      <c r="A4" s="15" t="s">
        <v>533</v>
      </c>
      <c r="B4" s="16">
        <f>B3/B2</f>
        <v>10.688000000000001</v>
      </c>
      <c r="C4" s="16">
        <f>C3/C2</f>
        <v>11.0624</v>
      </c>
    </row>
    <row r="5" spans="1:3" x14ac:dyDescent="0.35">
      <c r="A5" s="6"/>
    </row>
    <row r="6" spans="1:3" x14ac:dyDescent="0.35">
      <c r="A6" s="8" t="s">
        <v>0</v>
      </c>
      <c r="B6" s="8" t="s">
        <v>531</v>
      </c>
      <c r="C6" s="8" t="s">
        <v>530</v>
      </c>
    </row>
    <row r="7" spans="1:3" x14ac:dyDescent="0.35">
      <c r="A7" s="7" t="s">
        <v>8</v>
      </c>
      <c r="B7" s="9">
        <v>136070900</v>
      </c>
      <c r="C7" s="9">
        <v>83079900</v>
      </c>
    </row>
    <row r="8" spans="1:3" x14ac:dyDescent="0.35">
      <c r="A8" s="7" t="s">
        <v>9</v>
      </c>
      <c r="B8" s="9">
        <v>310592800</v>
      </c>
      <c r="C8" s="9">
        <v>200879900</v>
      </c>
    </row>
    <row r="9" spans="1:3" x14ac:dyDescent="0.35">
      <c r="A9" s="7" t="s">
        <v>10</v>
      </c>
      <c r="B9" s="9">
        <v>35796200</v>
      </c>
      <c r="C9" s="9">
        <v>107873900</v>
      </c>
    </row>
    <row r="10" spans="1:3" x14ac:dyDescent="0.35">
      <c r="A10" s="7" t="s">
        <v>11</v>
      </c>
      <c r="B10" s="9">
        <v>221772100</v>
      </c>
      <c r="C10" s="9">
        <v>607473500</v>
      </c>
    </row>
    <row r="11" spans="1:3" x14ac:dyDescent="0.35">
      <c r="A11" s="7" t="s">
        <v>12</v>
      </c>
      <c r="B11" s="9">
        <v>684181400</v>
      </c>
      <c r="C11" s="9">
        <v>478113900</v>
      </c>
    </row>
    <row r="12" spans="1:3" x14ac:dyDescent="0.35">
      <c r="A12" s="7" t="s">
        <v>13</v>
      </c>
      <c r="B12" s="9">
        <v>80949300</v>
      </c>
      <c r="C12" s="9">
        <v>104340600</v>
      </c>
    </row>
    <row r="13" spans="1:3" x14ac:dyDescent="0.35">
      <c r="A13" s="7" t="s">
        <v>14</v>
      </c>
      <c r="B13" s="9">
        <v>191632200</v>
      </c>
      <c r="C13" s="9">
        <v>158309000</v>
      </c>
    </row>
    <row r="14" spans="1:3" x14ac:dyDescent="0.35">
      <c r="A14" s="7" t="s">
        <v>15</v>
      </c>
      <c r="B14" s="9">
        <v>267681300</v>
      </c>
      <c r="C14" s="9">
        <v>502757100</v>
      </c>
    </row>
    <row r="15" spans="1:3" x14ac:dyDescent="0.35">
      <c r="A15" s="7" t="s">
        <v>16</v>
      </c>
      <c r="B15" s="9">
        <v>206885200</v>
      </c>
      <c r="C15" s="9">
        <v>237212300</v>
      </c>
    </row>
    <row r="16" spans="1:3" x14ac:dyDescent="0.35">
      <c r="A16" s="7" t="s">
        <v>17</v>
      </c>
      <c r="B16" s="9">
        <v>782187000</v>
      </c>
      <c r="C16" s="9">
        <v>538024300</v>
      </c>
    </row>
    <row r="17" spans="1:3" x14ac:dyDescent="0.35">
      <c r="A17" s="7" t="s">
        <v>18</v>
      </c>
      <c r="B17" s="9">
        <v>139402800</v>
      </c>
      <c r="C17" s="9">
        <v>151434700</v>
      </c>
    </row>
    <row r="18" spans="1:3" x14ac:dyDescent="0.35">
      <c r="A18" s="7" t="s">
        <v>19</v>
      </c>
      <c r="B18" s="9">
        <v>109487900</v>
      </c>
      <c r="C18" s="9">
        <v>136539100</v>
      </c>
    </row>
    <row r="19" spans="1:3" x14ac:dyDescent="0.35">
      <c r="A19" s="6" t="s">
        <v>532</v>
      </c>
      <c r="B19" s="12">
        <f>SUM(B7:B18)</f>
        <v>3166639100</v>
      </c>
      <c r="C19" s="12">
        <f>SUM(C7:C18)</f>
        <v>3306038200</v>
      </c>
    </row>
    <row r="20" spans="1:3" x14ac:dyDescent="0.35">
      <c r="A20" s="7"/>
      <c r="B20" s="6"/>
      <c r="C20" s="6"/>
    </row>
    <row r="21" spans="1:3" x14ac:dyDescent="0.35">
      <c r="A21" s="8" t="s">
        <v>0</v>
      </c>
      <c r="B21" s="8" t="s">
        <v>529</v>
      </c>
      <c r="C21" s="6" t="s">
        <v>528</v>
      </c>
    </row>
    <row r="22" spans="1:3" x14ac:dyDescent="0.35">
      <c r="A22" s="7" t="s">
        <v>8</v>
      </c>
      <c r="B22" s="11">
        <v>8.9368253946304321E-2</v>
      </c>
      <c r="C22" s="10">
        <v>-7.2847638261477596E-2</v>
      </c>
    </row>
    <row r="23" spans="1:3" x14ac:dyDescent="0.35">
      <c r="A23" s="7" t="s">
        <v>9</v>
      </c>
      <c r="B23" s="11">
        <v>0.33070248365402222</v>
      </c>
      <c r="C23" s="10">
        <v>-0.16336051128124335</v>
      </c>
    </row>
    <row r="24" spans="1:3" x14ac:dyDescent="0.35">
      <c r="A24" s="7" t="s">
        <v>10</v>
      </c>
      <c r="B24" s="11">
        <v>1.9944583177566528</v>
      </c>
      <c r="C24" s="10">
        <v>-0.62601885887805664</v>
      </c>
    </row>
    <row r="25" spans="1:3" x14ac:dyDescent="0.35">
      <c r="A25" s="7" t="s">
        <v>11</v>
      </c>
      <c r="B25" s="11">
        <v>1.2952382564544678</v>
      </c>
      <c r="C25" s="11">
        <v>0.81923076923076932</v>
      </c>
    </row>
    <row r="26" spans="1:3" x14ac:dyDescent="0.35">
      <c r="A26" s="7" t="s">
        <v>12</v>
      </c>
      <c r="B26" s="11">
        <v>1.0131185054779053</v>
      </c>
      <c r="C26" s="10">
        <v>-0.39713191821666904</v>
      </c>
    </row>
    <row r="27" spans="1:3" x14ac:dyDescent="0.35">
      <c r="A27" s="7" t="s">
        <v>13</v>
      </c>
      <c r="B27" s="11">
        <v>0.2583681046962738</v>
      </c>
      <c r="C27" s="10">
        <v>-0.2065806330695544</v>
      </c>
    </row>
    <row r="28" spans="1:3" x14ac:dyDescent="0.35">
      <c r="A28" s="7" t="s">
        <v>14</v>
      </c>
      <c r="B28" s="11">
        <v>0.53870755434036255</v>
      </c>
      <c r="C28" s="10">
        <v>-0.60534715105136272</v>
      </c>
    </row>
    <row r="29" spans="1:3" x14ac:dyDescent="0.35">
      <c r="A29" s="7" t="s">
        <v>15</v>
      </c>
      <c r="B29" s="11">
        <v>5.5456161499023438E-2</v>
      </c>
      <c r="C29" s="11">
        <v>0.8395270270270272</v>
      </c>
    </row>
    <row r="30" spans="1:3" x14ac:dyDescent="0.35">
      <c r="A30" s="7" t="s">
        <v>16</v>
      </c>
      <c r="B30" s="11">
        <v>1.8446969985961914</v>
      </c>
      <c r="C30" s="10">
        <v>-7.7529594678832983E-2</v>
      </c>
    </row>
    <row r="31" spans="1:3" x14ac:dyDescent="0.35">
      <c r="A31" s="7" t="s">
        <v>17</v>
      </c>
      <c r="B31" s="11">
        <v>0.23065699636936188</v>
      </c>
      <c r="C31" s="10">
        <v>-0.44593088071348946</v>
      </c>
    </row>
    <row r="32" spans="1:3" x14ac:dyDescent="0.35">
      <c r="A32" s="7" t="s">
        <v>18</v>
      </c>
      <c r="B32" s="10">
        <v>-7.2148971259593964E-2</v>
      </c>
      <c r="C32" s="10">
        <v>-4.9957662997459767E-2</v>
      </c>
    </row>
    <row r="33" spans="1:3" x14ac:dyDescent="0.35">
      <c r="A33" s="7" t="s">
        <v>19</v>
      </c>
      <c r="B33" s="11">
        <v>0.50000005960464478</v>
      </c>
      <c r="C33" s="10">
        <v>-3.5443037974683574E-2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F1502-48CB-48D4-98FE-40F10D341893}">
  <sheetPr codeName="Sheet3"/>
  <dimension ref="A1"/>
  <sheetViews>
    <sheetView workbookViewId="0">
      <selection activeCell="I26" sqref="I26"/>
    </sheetView>
  </sheetViews>
  <sheetFormatPr defaultRowHeight="14.5" x14ac:dyDescent="0.35"/>
  <cols>
    <col min="2" max="2" width="27.0898437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69850</xdr:colOff>
                    <xdr:row>2</xdr:row>
                    <xdr:rowOff>171450</xdr:rowOff>
                  </from>
                  <to>
                    <xdr:col>8</xdr:col>
                    <xdr:colOff>495300</xdr:colOff>
                    <xdr:row>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QAnalysis">
                <anchor moveWithCells="1" sizeWithCells="1">
                  <from>
                    <xdr:col>4</xdr:col>
                    <xdr:colOff>69850</xdr:colOff>
                    <xdr:row>9</xdr:row>
                    <xdr:rowOff>12700</xdr:rowOff>
                  </from>
                  <to>
                    <xdr:col>8</xdr:col>
                    <xdr:colOff>495300</xdr:colOff>
                    <xdr:row>12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48792-580F-49FB-AF16-09319F1E3363}">
  <sheetPr codeName="Sheet4"/>
  <dimension ref="A1:C3"/>
  <sheetViews>
    <sheetView workbookViewId="0">
      <selection activeCell="I39" sqref="I39"/>
    </sheetView>
  </sheetViews>
  <sheetFormatPr defaultRowHeight="14.5" x14ac:dyDescent="0.35"/>
  <cols>
    <col min="2" max="2" width="16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9CB1C-38B7-4C63-83BA-5308F782EABA}">
  <sheetPr codeName="Sheet5"/>
  <dimension ref="A1:C3"/>
  <sheetViews>
    <sheetView workbookViewId="0">
      <selection activeCell="G8" sqref="G8"/>
    </sheetView>
  </sheetViews>
  <sheetFormatPr defaultRowHeight="14.5" x14ac:dyDescent="0.35"/>
  <cols>
    <col min="2" max="2" width="22.26953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52EA4-D6B7-47AB-88AB-6E10DDDE0223}">
  <sheetPr codeName="Sheet7"/>
  <dimension ref="O1:T20"/>
  <sheetViews>
    <sheetView workbookViewId="0">
      <selection activeCell="M34" sqref="M34"/>
    </sheetView>
  </sheetViews>
  <sheetFormatPr defaultRowHeight="14.5" x14ac:dyDescent="0.35"/>
  <sheetData>
    <row r="1" spans="15:20" x14ac:dyDescent="0.35">
      <c r="O1">
        <v>16</v>
      </c>
      <c r="P1">
        <v>17</v>
      </c>
      <c r="Q1">
        <v>18</v>
      </c>
      <c r="R1">
        <v>19</v>
      </c>
      <c r="S1">
        <v>20</v>
      </c>
      <c r="T1">
        <v>21</v>
      </c>
    </row>
    <row r="2" spans="15:20" x14ac:dyDescent="0.35">
      <c r="O2">
        <v>17</v>
      </c>
      <c r="P2">
        <v>18</v>
      </c>
      <c r="Q2">
        <v>19</v>
      </c>
      <c r="R2">
        <v>20</v>
      </c>
      <c r="S2">
        <v>21</v>
      </c>
      <c r="T2">
        <v>22</v>
      </c>
    </row>
    <row r="3" spans="15:20" x14ac:dyDescent="0.35">
      <c r="O3">
        <v>18</v>
      </c>
      <c r="P3">
        <v>19</v>
      </c>
      <c r="Q3">
        <v>20</v>
      </c>
      <c r="R3">
        <v>21</v>
      </c>
      <c r="S3">
        <v>22</v>
      </c>
      <c r="T3">
        <v>23</v>
      </c>
    </row>
    <row r="4" spans="15:20" x14ac:dyDescent="0.35">
      <c r="O4">
        <v>19</v>
      </c>
      <c r="P4">
        <v>20</v>
      </c>
      <c r="Q4">
        <v>21</v>
      </c>
      <c r="R4">
        <v>22</v>
      </c>
      <c r="S4">
        <v>23</v>
      </c>
      <c r="T4">
        <v>24</v>
      </c>
    </row>
    <row r="5" spans="15:20" x14ac:dyDescent="0.35">
      <c r="O5">
        <v>20</v>
      </c>
      <c r="P5">
        <v>21</v>
      </c>
      <c r="Q5">
        <v>22</v>
      </c>
      <c r="R5">
        <v>23</v>
      </c>
      <c r="S5">
        <v>24</v>
      </c>
      <c r="T5">
        <v>25</v>
      </c>
    </row>
    <row r="6" spans="15:20" x14ac:dyDescent="0.35">
      <c r="O6">
        <v>21</v>
      </c>
      <c r="P6">
        <v>22</v>
      </c>
      <c r="Q6">
        <v>23</v>
      </c>
      <c r="R6">
        <v>24</v>
      </c>
      <c r="S6">
        <v>25</v>
      </c>
      <c r="T6">
        <v>26</v>
      </c>
    </row>
    <row r="7" spans="15:20" x14ac:dyDescent="0.35">
      <c r="O7">
        <v>22</v>
      </c>
      <c r="P7">
        <v>23</v>
      </c>
      <c r="Q7">
        <v>24</v>
      </c>
      <c r="R7">
        <v>25</v>
      </c>
      <c r="S7">
        <v>26</v>
      </c>
      <c r="T7">
        <v>27</v>
      </c>
    </row>
    <row r="8" spans="15:20" x14ac:dyDescent="0.35">
      <c r="O8">
        <v>23</v>
      </c>
      <c r="P8">
        <v>24</v>
      </c>
      <c r="Q8">
        <v>25</v>
      </c>
      <c r="R8">
        <v>26</v>
      </c>
      <c r="S8">
        <v>27</v>
      </c>
      <c r="T8">
        <v>28</v>
      </c>
    </row>
    <row r="9" spans="15:20" x14ac:dyDescent="0.35">
      <c r="O9">
        <v>24</v>
      </c>
      <c r="P9">
        <v>25</v>
      </c>
      <c r="Q9">
        <v>26</v>
      </c>
      <c r="R9">
        <v>27</v>
      </c>
      <c r="S9">
        <v>28</v>
      </c>
      <c r="T9">
        <v>29</v>
      </c>
    </row>
    <row r="10" spans="15:20" x14ac:dyDescent="0.35">
      <c r="O10">
        <v>25</v>
      </c>
      <c r="P10">
        <v>26</v>
      </c>
      <c r="Q10">
        <v>27</v>
      </c>
      <c r="R10">
        <v>28</v>
      </c>
      <c r="S10">
        <v>29</v>
      </c>
      <c r="T10">
        <v>30</v>
      </c>
    </row>
    <row r="11" spans="15:20" x14ac:dyDescent="0.35">
      <c r="O11">
        <v>26</v>
      </c>
      <c r="P11">
        <v>27</v>
      </c>
      <c r="Q11">
        <v>28</v>
      </c>
      <c r="R11">
        <v>29</v>
      </c>
      <c r="S11">
        <v>30</v>
      </c>
      <c r="T11">
        <v>31</v>
      </c>
    </row>
    <row r="12" spans="15:20" x14ac:dyDescent="0.35">
      <c r="O12">
        <v>27</v>
      </c>
      <c r="P12">
        <v>28</v>
      </c>
      <c r="Q12">
        <v>29</v>
      </c>
      <c r="R12">
        <v>30</v>
      </c>
      <c r="S12">
        <v>31</v>
      </c>
      <c r="T12">
        <v>32</v>
      </c>
    </row>
    <row r="13" spans="15:20" x14ac:dyDescent="0.35">
      <c r="O13">
        <v>28</v>
      </c>
      <c r="P13">
        <v>29</v>
      </c>
      <c r="Q13">
        <v>30</v>
      </c>
      <c r="R13">
        <v>31</v>
      </c>
      <c r="S13">
        <v>32</v>
      </c>
      <c r="T13">
        <v>33</v>
      </c>
    </row>
    <row r="14" spans="15:20" x14ac:dyDescent="0.35">
      <c r="O14">
        <v>29</v>
      </c>
      <c r="P14">
        <v>30</v>
      </c>
      <c r="Q14">
        <v>31</v>
      </c>
      <c r="R14">
        <v>32</v>
      </c>
      <c r="S14">
        <v>33</v>
      </c>
      <c r="T14">
        <v>34</v>
      </c>
    </row>
    <row r="15" spans="15:20" x14ac:dyDescent="0.35">
      <c r="O15">
        <v>30</v>
      </c>
      <c r="P15">
        <v>31</v>
      </c>
      <c r="Q15">
        <v>32</v>
      </c>
      <c r="R15">
        <v>33</v>
      </c>
      <c r="S15">
        <v>34</v>
      </c>
      <c r="T15">
        <v>35</v>
      </c>
    </row>
    <row r="16" spans="15:20" x14ac:dyDescent="0.35">
      <c r="O16">
        <v>31</v>
      </c>
      <c r="P16">
        <v>32</v>
      </c>
      <c r="Q16">
        <v>33</v>
      </c>
      <c r="R16">
        <v>34</v>
      </c>
      <c r="S16">
        <v>35</v>
      </c>
      <c r="T16">
        <v>36</v>
      </c>
    </row>
    <row r="17" spans="15:20" x14ac:dyDescent="0.35">
      <c r="O17">
        <v>32</v>
      </c>
      <c r="P17">
        <v>33</v>
      </c>
      <c r="Q17">
        <v>34</v>
      </c>
      <c r="R17">
        <v>35</v>
      </c>
      <c r="S17">
        <v>36</v>
      </c>
      <c r="T17">
        <v>37</v>
      </c>
    </row>
    <row r="18" spans="15:20" x14ac:dyDescent="0.35">
      <c r="O18">
        <v>33</v>
      </c>
      <c r="P18">
        <v>34</v>
      </c>
      <c r="Q18">
        <v>35</v>
      </c>
      <c r="R18">
        <v>36</v>
      </c>
      <c r="S18">
        <v>37</v>
      </c>
      <c r="T18">
        <v>38</v>
      </c>
    </row>
    <row r="19" spans="15:20" x14ac:dyDescent="0.35">
      <c r="O19">
        <v>34</v>
      </c>
      <c r="P19">
        <v>35</v>
      </c>
      <c r="Q19">
        <v>36</v>
      </c>
      <c r="R19">
        <v>37</v>
      </c>
      <c r="S19">
        <v>38</v>
      </c>
      <c r="T19">
        <v>39</v>
      </c>
    </row>
    <row r="20" spans="15:20" x14ac:dyDescent="0.35">
      <c r="O20">
        <v>35</v>
      </c>
      <c r="P20">
        <v>36</v>
      </c>
      <c r="Q20">
        <v>37</v>
      </c>
      <c r="R20">
        <v>38</v>
      </c>
      <c r="S20">
        <v>39</v>
      </c>
      <c r="T20">
        <v>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92418-47B5-4378-A342-A58956882510}">
  <sheetPr codeName="Sheet9"/>
  <dimension ref="A1"/>
  <sheetViews>
    <sheetView workbookViewId="0">
      <selection activeCell="B4" sqref="B4"/>
    </sheetView>
  </sheetViews>
  <sheetFormatPr defaultRowHeight="14.5" x14ac:dyDescent="0.35"/>
  <sheetData>
    <row r="1" spans="1:1" x14ac:dyDescent="0.35">
      <c r="A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2017</vt:lpstr>
      <vt:lpstr>2018</vt:lpstr>
      <vt:lpstr>AllStocksAnalysis</vt:lpstr>
      <vt:lpstr>AllStocksAnalysisOriginal</vt:lpstr>
      <vt:lpstr>Comparisons for Report</vt:lpstr>
      <vt:lpstr>DQ Analysis</vt:lpstr>
      <vt:lpstr>DQAnalysis Range Only</vt:lpstr>
      <vt:lpstr>DQAnalysis Cells Only</vt:lpstr>
      <vt:lpstr>NestedForLoopSkillDrill</vt:lpstr>
      <vt:lpstr>TestArrays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Jayan Pillai</dc:creator>
  <cp:lastModifiedBy>Jayan Pillai</cp:lastModifiedBy>
  <cp:lastPrinted>2022-03-06T16:28:17Z</cp:lastPrinted>
  <dcterms:created xsi:type="dcterms:W3CDTF">2019-05-02T20:23:55Z</dcterms:created>
  <dcterms:modified xsi:type="dcterms:W3CDTF">2022-03-06T19:35:41Z</dcterms:modified>
</cp:coreProperties>
</file>